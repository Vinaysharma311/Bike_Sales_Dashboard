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ownloads_D\"/>
    </mc:Choice>
  </mc:AlternateContent>
  <xr:revisionPtr revIDLastSave="0" documentId="13_ncr:1_{93C35972-59BC-4B79-93AF-BC18C46C23D8}" xr6:coauthVersionLast="47" xr6:coauthVersionMax="47" xr10:uidLastSave="{00000000-0000-0000-0000-000000000000}"/>
  <bookViews>
    <workbookView xWindow="5604" yWindow="3456" windowWidth="17280" windowHeight="8880" activeTab="3" xr2:uid="{00000000-000D-0000-FFFF-FFFF00000000}"/>
  </bookViews>
  <sheets>
    <sheet name="bike_buyers" sheetId="1" r:id="rId1"/>
    <sheet name="Working Sheet" sheetId="4" r:id="rId2"/>
    <sheet name="Pivot Table " sheetId="3" r:id="rId3"/>
    <sheet name="DashBoard " sheetId="2" r:id="rId4"/>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4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<sst xmlns="http://schemas.openxmlformats.org/spreadsheetml/2006/main" count="16267" uniqueCount="51">
  <si>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</si>
  <si>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</si>
  <si>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</si>
  <si>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</si>
  <si>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</si>
  <si>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</si>
  <si>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</si>
  <si>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</si>
  <si>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</si>
  <si>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</si>
  <si>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</si>
  <si>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</si>
  <si>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</si>
  <si>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</si>
  <si>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</si>
  <si>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</si>
  <si>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</si>
  <si>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</si>
  <si>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</si>
  <si>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</si>
  <si>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</si>
  <si>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</si>
  <si>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</si>
  <si>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</si>
  <si>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</si>
  <si>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</si>
  <si>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</si>
  <si>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</si>
  <si>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</si>
  <si>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</si>
  <si>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</si>
  <si>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</si>
  <si>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</si>
  <si>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</si>
  <si>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</si>
  <si>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</si>
  <si>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Marrried</t>
  </si>
  <si>
    <t>Single</t>
  </si>
  <si>
    <t>Female</t>
  </si>
  <si>
    <t>Male</t>
  </si>
  <si>
    <t>Age Brackets</t>
  </si>
  <si>
    <t>Row Labels</t>
  </si>
  <si>
    <t>Grand Total</t>
  </si>
  <si>
    <t>Average of Income</t>
  </si>
  <si>
    <t>Column Labels</t>
  </si>
  <si>
    <t>Count of Purchased Bike</t>
  </si>
  <si>
    <t>More than 10 Miles</t>
  </si>
  <si>
    <t>ADOLSCENT</t>
  </si>
  <si>
    <t>MID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</si>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</sst>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8" formatCode="_-[$$-409]* #,##0.00_ ;_-[$$-409]* \-#,##0.00\ ;_-[$$-409]* &quot;-&quot;??_ ;_-@_ "/>
    <numFmt numFmtId="170"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Apto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'!$C$5:$C$6</c:f>
              <c:strCache>
                <c:ptCount val="1"/>
                <c:pt idx="0">
                  <c:v>No</c:v>
                </c:pt>
              </c:strCache>
            </c:strRef>
          </c:tx>
          <c:spPr>
            <a:solidFill>
              <a:schemeClr val="accent1"/>
            </a:solidFill>
            <a:ln>
              <a:noFill/>
            </a:ln>
            <a:effectLst/>
          </c:spPr>
          <c:invertIfNegative val="0"/>
          <c:cat>
            <c:strRef>
              <c:f>'Pivot Table '!$B$7:$B$9</c:f>
              <c:strCache>
                <c:ptCount val="2"/>
                <c:pt idx="0">
                  <c:v>Female</c:v>
                </c:pt>
                <c:pt idx="1">
                  <c:v>Male</c:v>
                </c:pt>
              </c:strCache>
            </c:strRef>
          </c:cat>
          <c:val>
            <c:numRef>
              <c:f>'Pivot Table '!$C$7:$C$9</c:f>
              <c:numCache>
                <c:formatCode>_-[$$-409]* #,##0_ ;_-[$$-409]* \-#,##0\ ;_-[$$-409]* "-"??_ ;_-@_ </c:formatCode>
                <c:ptCount val="2"/>
                <c:pt idx="0">
                  <c:v>58571.428571428572</c:v>
                </c:pt>
                <c:pt idx="1">
                  <c:v>61190.476190476191</c:v>
                </c:pt>
              </c:numCache>
            </c:numRef>
          </c:val>
          <c:extLst>
            <c:ext xmlns:c16="http://schemas.microsoft.com/office/drawing/2014/chart" uri="{C3380CC4-5D6E-409C-BE32-E72D297353CC}">
              <c16:uniqueId val="{00000000-607D-46B4-8F64-194059A4DF9F}"/>
            </c:ext>
          </c:extLst>
        </c:ser>
        <c:ser>
          <c:idx val="1"/>
          <c:order val="1"/>
          <c:tx>
            <c:strRef>
              <c:f>'Pivot Table '!$D$5:$D$6</c:f>
              <c:strCache>
                <c:ptCount val="1"/>
                <c:pt idx="0">
                  <c:v>Yes</c:v>
                </c:pt>
              </c:strCache>
            </c:strRef>
          </c:tx>
          <c:spPr>
            <a:solidFill>
              <a:schemeClr val="accent2"/>
            </a:solidFill>
            <a:ln>
              <a:noFill/>
            </a:ln>
            <a:effectLst/>
          </c:spPr>
          <c:invertIfNegative val="0"/>
          <c:cat>
            <c:strRef>
              <c:f>'Pivot Table '!$B$7:$B$9</c:f>
              <c:strCache>
                <c:ptCount val="2"/>
                <c:pt idx="0">
                  <c:v>Female</c:v>
                </c:pt>
                <c:pt idx="1">
                  <c:v>Male</c:v>
                </c:pt>
              </c:strCache>
            </c:strRef>
          </c:cat>
          <c:val>
            <c:numRef>
              <c:f>'Pivot Table '!$D$7:$D$9</c:f>
              <c:numCache>
                <c:formatCode>_-[$$-409]* #,##0_ ;_-[$$-409]* \-#,##0\ ;_-[$$-409]* "-"??_ ;_-@_ </c:formatCode>
                <c:ptCount val="2"/>
                <c:pt idx="0">
                  <c:v>64406.779661016946</c:v>
                </c:pt>
                <c:pt idx="1">
                  <c:v>68333.333333333328</c:v>
                </c:pt>
              </c:numCache>
            </c:numRef>
          </c:val>
          <c:extLst>
            <c:ext xmlns:c16="http://schemas.microsoft.com/office/drawing/2014/chart" uri="{C3380CC4-5D6E-409C-BE32-E72D297353CC}">
              <c16:uniqueId val="{00000001-607D-46B4-8F64-194059A4DF9F}"/>
            </c:ext>
          </c:extLst>
        </c:ser>
        <c:dLbls>
          <c:showLegendKey val="0"/>
          <c:showVal val="0"/>
          <c:showCatName val="0"/>
          <c:showSerName val="0"/>
          <c:showPercent val="0"/>
          <c:showBubbleSize val="0"/>
        </c:dLbls>
        <c:gapWidth val="219"/>
        <c:overlap val="-27"/>
        <c:axId val="1436946768"/>
        <c:axId val="1436947728"/>
      </c:barChart>
      <c:catAx>
        <c:axId val="143694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947728"/>
        <c:crosses val="autoZero"/>
        <c:auto val="1"/>
        <c:lblAlgn val="ctr"/>
        <c:lblOffset val="100"/>
        <c:noMultiLvlLbl val="0"/>
      </c:catAx>
      <c:valAx>
        <c:axId val="143694772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946768"/>
        <c:crosses val="autoZero"/>
        <c:crossBetween val="between"/>
      </c:valAx>
      <c:spPr>
        <a:noFill/>
        <a:ln>
          <a:noFill/>
        </a:ln>
        <a:effectLst/>
      </c:spPr>
    </c:plotArea>
    <c:legend>
      <c:legendPos val="r"/>
      <c:layout>
        <c:manualLayout>
          <c:xMode val="edge"/>
          <c:yMode val="edge"/>
          <c:x val="0.8"/>
          <c:y val="0.38824110527850691"/>
          <c:w val="0.20000005614856237"/>
          <c:h val="0.22451083131763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16929440940144E-2"/>
          <c:y val="0.151757121153687"/>
          <c:w val="0.65894685039370082"/>
          <c:h val="0.6076742490522018"/>
        </c:manualLayout>
      </c:layout>
      <c:lineChart>
        <c:grouping val="standard"/>
        <c:varyColors val="0"/>
        <c:ser>
          <c:idx val="0"/>
          <c:order val="0"/>
          <c:tx>
            <c:strRef>
              <c:f>'Pivot Table '!$C$21:$C$22</c:f>
              <c:strCache>
                <c:ptCount val="1"/>
                <c:pt idx="0">
                  <c:v>No</c:v>
                </c:pt>
              </c:strCache>
            </c:strRef>
          </c:tx>
          <c:spPr>
            <a:ln w="28575" cap="rnd">
              <a:solidFill>
                <a:schemeClr val="accent1"/>
              </a:solidFill>
              <a:round/>
            </a:ln>
            <a:effectLst/>
          </c:spPr>
          <c:marker>
            <c:symbol val="none"/>
          </c:marker>
          <c:cat>
            <c:strRef>
              <c:f>'Pivot Table '!$B$23:$B$28</c:f>
              <c:strCache>
                <c:ptCount val="5"/>
                <c:pt idx="0">
                  <c:v>0-1 Miles</c:v>
                </c:pt>
                <c:pt idx="1">
                  <c:v>1-2 Miles</c:v>
                </c:pt>
                <c:pt idx="2">
                  <c:v>2-5 Miles</c:v>
                </c:pt>
                <c:pt idx="3">
                  <c:v>5-10 Miles</c:v>
                </c:pt>
                <c:pt idx="4">
                  <c:v>More than 10 Miles</c:v>
                </c:pt>
              </c:strCache>
            </c:strRef>
          </c:cat>
          <c:val>
            <c:numRef>
              <c:f>'Pivot Table '!$C$23:$C$28</c:f>
              <c:numCache>
                <c:formatCode>General</c:formatCode>
                <c:ptCount val="5"/>
                <c:pt idx="0">
                  <c:v>22</c:v>
                </c:pt>
                <c:pt idx="1">
                  <c:v>24</c:v>
                </c:pt>
                <c:pt idx="2">
                  <c:v>8</c:v>
                </c:pt>
                <c:pt idx="3">
                  <c:v>34</c:v>
                </c:pt>
                <c:pt idx="4">
                  <c:v>10</c:v>
                </c:pt>
              </c:numCache>
            </c:numRef>
          </c:val>
          <c:smooth val="0"/>
          <c:extLst>
            <c:ext xmlns:c16="http://schemas.microsoft.com/office/drawing/2014/chart" uri="{C3380CC4-5D6E-409C-BE32-E72D297353CC}">
              <c16:uniqueId val="{00000000-24B2-4E4D-A317-A782D419B509}"/>
            </c:ext>
          </c:extLst>
        </c:ser>
        <c:ser>
          <c:idx val="1"/>
          <c:order val="1"/>
          <c:tx>
            <c:strRef>
              <c:f>'Pivot Table '!$D$21:$D$22</c:f>
              <c:strCache>
                <c:ptCount val="1"/>
                <c:pt idx="0">
                  <c:v>Yes</c:v>
                </c:pt>
              </c:strCache>
            </c:strRef>
          </c:tx>
          <c:spPr>
            <a:ln w="28575" cap="rnd">
              <a:solidFill>
                <a:schemeClr val="accent2"/>
              </a:solidFill>
              <a:round/>
            </a:ln>
            <a:effectLst/>
          </c:spPr>
          <c:marker>
            <c:symbol val="none"/>
          </c:marker>
          <c:cat>
            <c:strRef>
              <c:f>'Pivot Table '!$B$23:$B$28</c:f>
              <c:strCache>
                <c:ptCount val="5"/>
                <c:pt idx="0">
                  <c:v>0-1 Miles</c:v>
                </c:pt>
                <c:pt idx="1">
                  <c:v>1-2 Miles</c:v>
                </c:pt>
                <c:pt idx="2">
                  <c:v>2-5 Miles</c:v>
                </c:pt>
                <c:pt idx="3">
                  <c:v>5-10 Miles</c:v>
                </c:pt>
                <c:pt idx="4">
                  <c:v>More than 10 Miles</c:v>
                </c:pt>
              </c:strCache>
            </c:strRef>
          </c:cat>
          <c:val>
            <c:numRef>
              <c:f>'Pivot Table '!$D$23:$D$28</c:f>
              <c:numCache>
                <c:formatCode>General</c:formatCode>
                <c:ptCount val="5"/>
                <c:pt idx="0">
                  <c:v>27</c:v>
                </c:pt>
                <c:pt idx="1">
                  <c:v>23</c:v>
                </c:pt>
                <c:pt idx="2">
                  <c:v>36</c:v>
                </c:pt>
                <c:pt idx="3">
                  <c:v>15</c:v>
                </c:pt>
                <c:pt idx="4">
                  <c:v>12</c:v>
                </c:pt>
              </c:numCache>
            </c:numRef>
          </c:val>
          <c:smooth val="0"/>
          <c:extLst>
            <c:ext xmlns:c16="http://schemas.microsoft.com/office/drawing/2014/chart" uri="{C3380CC4-5D6E-409C-BE32-E72D297353CC}">
              <c16:uniqueId val="{00000001-24B2-4E4D-A317-A782D419B509}"/>
            </c:ext>
          </c:extLst>
        </c:ser>
        <c:dLbls>
          <c:showLegendKey val="0"/>
          <c:showVal val="0"/>
          <c:showCatName val="0"/>
          <c:showSerName val="0"/>
          <c:showPercent val="0"/>
          <c:showBubbleSize val="0"/>
        </c:dLbls>
        <c:smooth val="0"/>
        <c:axId val="1665601392"/>
        <c:axId val="1665595632"/>
      </c:lineChart>
      <c:catAx>
        <c:axId val="166560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595632"/>
        <c:crosses val="autoZero"/>
        <c:auto val="1"/>
        <c:lblAlgn val="ctr"/>
        <c:lblOffset val="100"/>
        <c:noMultiLvlLbl val="0"/>
      </c:catAx>
      <c:valAx>
        <c:axId val="166559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60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'!$C$37:$C$38</c:f>
              <c:strCache>
                <c:ptCount val="1"/>
                <c:pt idx="0">
                  <c:v>No</c:v>
                </c:pt>
              </c:strCache>
            </c:strRef>
          </c:tx>
          <c:spPr>
            <a:ln w="28575" cap="rnd">
              <a:solidFill>
                <a:schemeClr val="accent1"/>
              </a:solidFill>
              <a:round/>
            </a:ln>
            <a:effectLst/>
          </c:spPr>
          <c:marker>
            <c:symbol val="none"/>
          </c:marker>
          <c:cat>
            <c:strRef>
              <c:f>'Pivot Table '!$B$39:$B$42</c:f>
              <c:strCache>
                <c:ptCount val="3"/>
                <c:pt idx="0">
                  <c:v>ADOLSCENT</c:v>
                </c:pt>
                <c:pt idx="1">
                  <c:v>MID AGE</c:v>
                </c:pt>
                <c:pt idx="2">
                  <c:v>OLD</c:v>
                </c:pt>
              </c:strCache>
            </c:strRef>
          </c:cat>
          <c:val>
            <c:numRef>
              <c:f>'Pivot Table '!$C$39:$C$42</c:f>
              <c:numCache>
                <c:formatCode>General</c:formatCode>
                <c:ptCount val="3"/>
                <c:pt idx="0">
                  <c:v>26</c:v>
                </c:pt>
                <c:pt idx="1">
                  <c:v>56</c:v>
                </c:pt>
                <c:pt idx="2">
                  <c:v>16</c:v>
                </c:pt>
              </c:numCache>
            </c:numRef>
          </c:val>
          <c:smooth val="0"/>
          <c:extLst>
            <c:ext xmlns:c16="http://schemas.microsoft.com/office/drawing/2014/chart" uri="{C3380CC4-5D6E-409C-BE32-E72D297353CC}">
              <c16:uniqueId val="{00000000-A16F-43D2-A873-D4AE3C23F90C}"/>
            </c:ext>
          </c:extLst>
        </c:ser>
        <c:ser>
          <c:idx val="1"/>
          <c:order val="1"/>
          <c:tx>
            <c:strRef>
              <c:f>'Pivot Table '!$D$37:$D$38</c:f>
              <c:strCache>
                <c:ptCount val="1"/>
                <c:pt idx="0">
                  <c:v>Yes</c:v>
                </c:pt>
              </c:strCache>
            </c:strRef>
          </c:tx>
          <c:spPr>
            <a:ln w="28575" cap="rnd">
              <a:solidFill>
                <a:schemeClr val="accent2"/>
              </a:solidFill>
              <a:round/>
            </a:ln>
            <a:effectLst/>
          </c:spPr>
          <c:marker>
            <c:symbol val="none"/>
          </c:marker>
          <c:cat>
            <c:strRef>
              <c:f>'Pivot Table '!$B$39:$B$42</c:f>
              <c:strCache>
                <c:ptCount val="3"/>
                <c:pt idx="0">
                  <c:v>ADOLSCENT</c:v>
                </c:pt>
                <c:pt idx="1">
                  <c:v>MID AGE</c:v>
                </c:pt>
                <c:pt idx="2">
                  <c:v>OLD</c:v>
                </c:pt>
              </c:strCache>
            </c:strRef>
          </c:cat>
          <c:val>
            <c:numRef>
              <c:f>'Pivot Table '!$D$39:$D$42</c:f>
              <c:numCache>
                <c:formatCode>General</c:formatCode>
                <c:ptCount val="3"/>
                <c:pt idx="0">
                  <c:v>7</c:v>
                </c:pt>
                <c:pt idx="1">
                  <c:v>89</c:v>
                </c:pt>
                <c:pt idx="2">
                  <c:v>17</c:v>
                </c:pt>
              </c:numCache>
            </c:numRef>
          </c:val>
          <c:smooth val="0"/>
          <c:extLst>
            <c:ext xmlns:c16="http://schemas.microsoft.com/office/drawing/2014/chart" uri="{C3380CC4-5D6E-409C-BE32-E72D297353CC}">
              <c16:uniqueId val="{00000001-A16F-43D2-A873-D4AE3C23F90C}"/>
            </c:ext>
          </c:extLst>
        </c:ser>
        <c:dLbls>
          <c:showLegendKey val="0"/>
          <c:showVal val="0"/>
          <c:showCatName val="0"/>
          <c:showSerName val="0"/>
          <c:showPercent val="0"/>
          <c:showBubbleSize val="0"/>
        </c:dLbls>
        <c:smooth val="0"/>
        <c:axId val="1665595152"/>
        <c:axId val="1665607152"/>
      </c:lineChart>
      <c:catAx>
        <c:axId val="166559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607152"/>
        <c:crosses val="autoZero"/>
        <c:auto val="1"/>
        <c:lblAlgn val="ctr"/>
        <c:lblOffset val="100"/>
        <c:noMultiLvlLbl val="0"/>
      </c:catAx>
      <c:valAx>
        <c:axId val="16656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59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7369088103039"/>
          <c:y val="0.20405577981148804"/>
          <c:w val="0.5842507997343418"/>
          <c:h val="0.69369116806224951"/>
        </c:manualLayout>
      </c:layout>
      <c:barChart>
        <c:barDir val="col"/>
        <c:grouping val="clustered"/>
        <c:varyColors val="0"/>
        <c:ser>
          <c:idx val="0"/>
          <c:order val="0"/>
          <c:tx>
            <c:strRef>
              <c:f>'Pivot Table '!$C$5:$C$6</c:f>
              <c:strCache>
                <c:ptCount val="1"/>
                <c:pt idx="0">
                  <c:v>No</c:v>
                </c:pt>
              </c:strCache>
            </c:strRef>
          </c:tx>
          <c:spPr>
            <a:solidFill>
              <a:schemeClr val="accent1"/>
            </a:solidFill>
            <a:ln>
              <a:noFill/>
            </a:ln>
            <a:effectLst/>
          </c:spPr>
          <c:invertIfNegative val="0"/>
          <c:cat>
            <c:strRef>
              <c:f>'Pivot Table '!$B$7:$B$9</c:f>
              <c:strCache>
                <c:ptCount val="2"/>
                <c:pt idx="0">
                  <c:v>Female</c:v>
                </c:pt>
                <c:pt idx="1">
                  <c:v>Male</c:v>
                </c:pt>
              </c:strCache>
            </c:strRef>
          </c:cat>
          <c:val>
            <c:numRef>
              <c:f>'Pivot Table '!$C$7:$C$9</c:f>
              <c:numCache>
                <c:formatCode>_-[$$-409]* #,##0_ ;_-[$$-409]* \-#,##0\ ;_-[$$-409]* "-"??_ ;_-@_ </c:formatCode>
                <c:ptCount val="2"/>
                <c:pt idx="0">
                  <c:v>58571.428571428572</c:v>
                </c:pt>
                <c:pt idx="1">
                  <c:v>61190.476190476191</c:v>
                </c:pt>
              </c:numCache>
            </c:numRef>
          </c:val>
          <c:extLst>
            <c:ext xmlns:c16="http://schemas.microsoft.com/office/drawing/2014/chart" uri="{C3380CC4-5D6E-409C-BE32-E72D297353CC}">
              <c16:uniqueId val="{00000000-9684-4FFA-B21F-5012A64ADF23}"/>
            </c:ext>
          </c:extLst>
        </c:ser>
        <c:ser>
          <c:idx val="1"/>
          <c:order val="1"/>
          <c:tx>
            <c:strRef>
              <c:f>'Pivot Table '!$D$5:$D$6</c:f>
              <c:strCache>
                <c:ptCount val="1"/>
                <c:pt idx="0">
                  <c:v>Yes</c:v>
                </c:pt>
              </c:strCache>
            </c:strRef>
          </c:tx>
          <c:spPr>
            <a:solidFill>
              <a:schemeClr val="accent2"/>
            </a:solidFill>
            <a:ln>
              <a:noFill/>
            </a:ln>
            <a:effectLst/>
          </c:spPr>
          <c:invertIfNegative val="0"/>
          <c:cat>
            <c:strRef>
              <c:f>'Pivot Table '!$B$7:$B$9</c:f>
              <c:strCache>
                <c:ptCount val="2"/>
                <c:pt idx="0">
                  <c:v>Female</c:v>
                </c:pt>
                <c:pt idx="1">
                  <c:v>Male</c:v>
                </c:pt>
              </c:strCache>
            </c:strRef>
          </c:cat>
          <c:val>
            <c:numRef>
              <c:f>'Pivot Table '!$D$7:$D$9</c:f>
              <c:numCache>
                <c:formatCode>_-[$$-409]* #,##0_ ;_-[$$-409]* \-#,##0\ ;_-[$$-409]* "-"??_ ;_-@_ </c:formatCode>
                <c:ptCount val="2"/>
                <c:pt idx="0">
                  <c:v>64406.779661016946</c:v>
                </c:pt>
                <c:pt idx="1">
                  <c:v>68333.333333333328</c:v>
                </c:pt>
              </c:numCache>
            </c:numRef>
          </c:val>
          <c:extLst>
            <c:ext xmlns:c16="http://schemas.microsoft.com/office/drawing/2014/chart" uri="{C3380CC4-5D6E-409C-BE32-E72D297353CC}">
              <c16:uniqueId val="{00000001-9684-4FFA-B21F-5012A64ADF23}"/>
            </c:ext>
          </c:extLst>
        </c:ser>
        <c:dLbls>
          <c:showLegendKey val="0"/>
          <c:showVal val="0"/>
          <c:showCatName val="0"/>
          <c:showSerName val="0"/>
          <c:showPercent val="0"/>
          <c:showBubbleSize val="0"/>
        </c:dLbls>
        <c:gapWidth val="219"/>
        <c:overlap val="-27"/>
        <c:axId val="1436946768"/>
        <c:axId val="1436947728"/>
      </c:barChart>
      <c:catAx>
        <c:axId val="143694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947728"/>
        <c:crosses val="autoZero"/>
        <c:auto val="1"/>
        <c:lblAlgn val="ctr"/>
        <c:lblOffset val="100"/>
        <c:noMultiLvlLbl val="0"/>
      </c:catAx>
      <c:valAx>
        <c:axId val="143694772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946768"/>
        <c:crosses val="autoZero"/>
        <c:crossBetween val="between"/>
      </c:valAx>
      <c:spPr>
        <a:noFill/>
        <a:ln>
          <a:noFill/>
        </a:ln>
        <a:effectLst/>
      </c:spPr>
    </c:plotArea>
    <c:legend>
      <c:legendPos val="r"/>
      <c:layout>
        <c:manualLayout>
          <c:xMode val="edge"/>
          <c:yMode val="edge"/>
          <c:x val="0.8"/>
          <c:y val="0.38824110527850691"/>
          <c:w val="0.20000005614856237"/>
          <c:h val="0.22451083131763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8286933101466"/>
          <c:y val="0.16133562685274816"/>
          <c:w val="0.64729166039911612"/>
          <c:h val="0.72819067317580477"/>
        </c:manualLayout>
      </c:layout>
      <c:lineChart>
        <c:grouping val="standard"/>
        <c:varyColors val="0"/>
        <c:ser>
          <c:idx val="0"/>
          <c:order val="0"/>
          <c:tx>
            <c:strRef>
              <c:f>'Pivot Table '!$C$37:$C$38</c:f>
              <c:strCache>
                <c:ptCount val="1"/>
                <c:pt idx="0">
                  <c:v>No</c:v>
                </c:pt>
              </c:strCache>
            </c:strRef>
          </c:tx>
          <c:spPr>
            <a:ln w="28575" cap="rnd">
              <a:solidFill>
                <a:schemeClr val="accent1"/>
              </a:solidFill>
              <a:round/>
            </a:ln>
            <a:effectLst/>
          </c:spPr>
          <c:marker>
            <c:symbol val="none"/>
          </c:marker>
          <c:cat>
            <c:strRef>
              <c:f>'Pivot Table '!$B$39:$B$42</c:f>
              <c:strCache>
                <c:ptCount val="3"/>
                <c:pt idx="0">
                  <c:v>ADOLSCENT</c:v>
                </c:pt>
                <c:pt idx="1">
                  <c:v>MID AGE</c:v>
                </c:pt>
                <c:pt idx="2">
                  <c:v>OLD</c:v>
                </c:pt>
              </c:strCache>
            </c:strRef>
          </c:cat>
          <c:val>
            <c:numRef>
              <c:f>'Pivot Table '!$C$39:$C$42</c:f>
              <c:numCache>
                <c:formatCode>General</c:formatCode>
                <c:ptCount val="3"/>
                <c:pt idx="0">
                  <c:v>26</c:v>
                </c:pt>
                <c:pt idx="1">
                  <c:v>56</c:v>
                </c:pt>
                <c:pt idx="2">
                  <c:v>16</c:v>
                </c:pt>
              </c:numCache>
            </c:numRef>
          </c:val>
          <c:smooth val="0"/>
          <c:extLst>
            <c:ext xmlns:c16="http://schemas.microsoft.com/office/drawing/2014/chart" uri="{C3380CC4-5D6E-409C-BE32-E72D297353CC}">
              <c16:uniqueId val="{00000000-006B-452A-9B23-9EC868673767}"/>
            </c:ext>
          </c:extLst>
        </c:ser>
        <c:ser>
          <c:idx val="1"/>
          <c:order val="1"/>
          <c:tx>
            <c:strRef>
              <c:f>'Pivot Table '!$D$37:$D$38</c:f>
              <c:strCache>
                <c:ptCount val="1"/>
                <c:pt idx="0">
                  <c:v>Yes</c:v>
                </c:pt>
              </c:strCache>
            </c:strRef>
          </c:tx>
          <c:spPr>
            <a:ln w="28575" cap="rnd">
              <a:solidFill>
                <a:schemeClr val="accent2"/>
              </a:solidFill>
              <a:round/>
            </a:ln>
            <a:effectLst/>
          </c:spPr>
          <c:marker>
            <c:symbol val="none"/>
          </c:marker>
          <c:cat>
            <c:strRef>
              <c:f>'Pivot Table '!$B$39:$B$42</c:f>
              <c:strCache>
                <c:ptCount val="3"/>
                <c:pt idx="0">
                  <c:v>ADOLSCENT</c:v>
                </c:pt>
                <c:pt idx="1">
                  <c:v>MID AGE</c:v>
                </c:pt>
                <c:pt idx="2">
                  <c:v>OLD</c:v>
                </c:pt>
              </c:strCache>
            </c:strRef>
          </c:cat>
          <c:val>
            <c:numRef>
              <c:f>'Pivot Table '!$D$39:$D$42</c:f>
              <c:numCache>
                <c:formatCode>General</c:formatCode>
                <c:ptCount val="3"/>
                <c:pt idx="0">
                  <c:v>7</c:v>
                </c:pt>
                <c:pt idx="1">
                  <c:v>89</c:v>
                </c:pt>
                <c:pt idx="2">
                  <c:v>17</c:v>
                </c:pt>
              </c:numCache>
            </c:numRef>
          </c:val>
          <c:smooth val="0"/>
          <c:extLst>
            <c:ext xmlns:c16="http://schemas.microsoft.com/office/drawing/2014/chart" uri="{C3380CC4-5D6E-409C-BE32-E72D297353CC}">
              <c16:uniqueId val="{00000001-006B-452A-9B23-9EC868673767}"/>
            </c:ext>
          </c:extLst>
        </c:ser>
        <c:dLbls>
          <c:showLegendKey val="0"/>
          <c:showVal val="0"/>
          <c:showCatName val="0"/>
          <c:showSerName val="0"/>
          <c:showPercent val="0"/>
          <c:showBubbleSize val="0"/>
        </c:dLbls>
        <c:smooth val="0"/>
        <c:axId val="1665595152"/>
        <c:axId val="1665607152"/>
      </c:lineChart>
      <c:catAx>
        <c:axId val="166559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607152"/>
        <c:crosses val="autoZero"/>
        <c:auto val="1"/>
        <c:lblAlgn val="ctr"/>
        <c:lblOffset val="100"/>
        <c:noMultiLvlLbl val="0"/>
      </c:catAx>
      <c:valAx>
        <c:axId val="16656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59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16929440940144E-2"/>
          <c:y val="0.151757121153687"/>
          <c:w val="0.65894685039370082"/>
          <c:h val="0.6076742490522018"/>
        </c:manualLayout>
      </c:layout>
      <c:lineChart>
        <c:grouping val="standard"/>
        <c:varyColors val="0"/>
        <c:ser>
          <c:idx val="0"/>
          <c:order val="0"/>
          <c:tx>
            <c:strRef>
              <c:f>'Pivot Table '!$C$21:$C$22</c:f>
              <c:strCache>
                <c:ptCount val="1"/>
                <c:pt idx="0">
                  <c:v>No</c:v>
                </c:pt>
              </c:strCache>
            </c:strRef>
          </c:tx>
          <c:spPr>
            <a:ln w="28575" cap="rnd">
              <a:solidFill>
                <a:schemeClr val="accent1"/>
              </a:solidFill>
              <a:round/>
            </a:ln>
            <a:effectLst/>
          </c:spPr>
          <c:marker>
            <c:symbol val="none"/>
          </c:marker>
          <c:cat>
            <c:strRef>
              <c:f>'Pivot Table '!$B$23:$B$28</c:f>
              <c:strCache>
                <c:ptCount val="5"/>
                <c:pt idx="0">
                  <c:v>0-1 Miles</c:v>
                </c:pt>
                <c:pt idx="1">
                  <c:v>1-2 Miles</c:v>
                </c:pt>
                <c:pt idx="2">
                  <c:v>2-5 Miles</c:v>
                </c:pt>
                <c:pt idx="3">
                  <c:v>5-10 Miles</c:v>
                </c:pt>
                <c:pt idx="4">
                  <c:v>More than 10 Miles</c:v>
                </c:pt>
              </c:strCache>
            </c:strRef>
          </c:cat>
          <c:val>
            <c:numRef>
              <c:f>'Pivot Table '!$C$23:$C$28</c:f>
              <c:numCache>
                <c:formatCode>General</c:formatCode>
                <c:ptCount val="5"/>
                <c:pt idx="0">
                  <c:v>22</c:v>
                </c:pt>
                <c:pt idx="1">
                  <c:v>24</c:v>
                </c:pt>
                <c:pt idx="2">
                  <c:v>8</c:v>
                </c:pt>
                <c:pt idx="3">
                  <c:v>34</c:v>
                </c:pt>
                <c:pt idx="4">
                  <c:v>10</c:v>
                </c:pt>
              </c:numCache>
            </c:numRef>
          </c:val>
          <c:smooth val="0"/>
          <c:extLst>
            <c:ext xmlns:c16="http://schemas.microsoft.com/office/drawing/2014/chart" uri="{C3380CC4-5D6E-409C-BE32-E72D297353CC}">
              <c16:uniqueId val="{00000000-53C3-421A-ADEB-1CB6FC027482}"/>
            </c:ext>
          </c:extLst>
        </c:ser>
        <c:ser>
          <c:idx val="1"/>
          <c:order val="1"/>
          <c:tx>
            <c:strRef>
              <c:f>'Pivot Table '!$D$21:$D$22</c:f>
              <c:strCache>
                <c:ptCount val="1"/>
                <c:pt idx="0">
                  <c:v>Yes</c:v>
                </c:pt>
              </c:strCache>
            </c:strRef>
          </c:tx>
          <c:spPr>
            <a:ln w="28575" cap="rnd">
              <a:solidFill>
                <a:schemeClr val="accent2"/>
              </a:solidFill>
              <a:round/>
            </a:ln>
            <a:effectLst/>
          </c:spPr>
          <c:marker>
            <c:symbol val="none"/>
          </c:marker>
          <c:cat>
            <c:strRef>
              <c:f>'Pivot Table '!$B$23:$B$28</c:f>
              <c:strCache>
                <c:ptCount val="5"/>
                <c:pt idx="0">
                  <c:v>0-1 Miles</c:v>
                </c:pt>
                <c:pt idx="1">
                  <c:v>1-2 Miles</c:v>
                </c:pt>
                <c:pt idx="2">
                  <c:v>2-5 Miles</c:v>
                </c:pt>
                <c:pt idx="3">
                  <c:v>5-10 Miles</c:v>
                </c:pt>
                <c:pt idx="4">
                  <c:v>More than 10 Miles</c:v>
                </c:pt>
              </c:strCache>
            </c:strRef>
          </c:cat>
          <c:val>
            <c:numRef>
              <c:f>'Pivot Table '!$D$23:$D$28</c:f>
              <c:numCache>
                <c:formatCode>General</c:formatCode>
                <c:ptCount val="5"/>
                <c:pt idx="0">
                  <c:v>27</c:v>
                </c:pt>
                <c:pt idx="1">
                  <c:v>23</c:v>
                </c:pt>
                <c:pt idx="2">
                  <c:v>36</c:v>
                </c:pt>
                <c:pt idx="3">
                  <c:v>15</c:v>
                </c:pt>
                <c:pt idx="4">
                  <c:v>12</c:v>
                </c:pt>
              </c:numCache>
            </c:numRef>
          </c:val>
          <c:smooth val="0"/>
          <c:extLst>
            <c:ext xmlns:c16="http://schemas.microsoft.com/office/drawing/2014/chart" uri="{C3380CC4-5D6E-409C-BE32-E72D297353CC}">
              <c16:uniqueId val="{00000001-53C3-421A-ADEB-1CB6FC027482}"/>
            </c:ext>
          </c:extLst>
        </c:ser>
        <c:dLbls>
          <c:showLegendKey val="0"/>
          <c:showVal val="0"/>
          <c:showCatName val="0"/>
          <c:showSerName val="0"/>
          <c:showPercent val="0"/>
          <c:showBubbleSize val="0"/>
        </c:dLbls>
        <c:smooth val="0"/>
        <c:axId val="1665601392"/>
        <c:axId val="1665595632"/>
      </c:lineChart>
      <c:catAx>
        <c:axId val="166560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595632"/>
        <c:crosses val="autoZero"/>
        <c:auto val="1"/>
        <c:lblAlgn val="ctr"/>
        <c:lblOffset val="100"/>
        <c:noMultiLvlLbl val="0"/>
      </c:catAx>
      <c:valAx>
        <c:axId val="166559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60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190500</xdr:colOff>
      <xdr:row>2</xdr:row>
      <xdr:rowOff>19050</xdr:rowOff>
    </xdr:from>
    <xdr:to>
      <xdr:col>10</xdr:col>
      <xdr:colOff>144780</xdr:colOff>
      <xdr:row>17</xdr:row>
      <xdr:rowOff>19050</xdr:rowOff>
    </xdr:to>
    <xdr:graphicFrame macro="">
      <xdr:nvGraphicFramePr>
        <xdr:cNvPr id="2" name="Chart 1">
          <a:extLst>
            <a:ext uri="{FF2B5EF4-FFF2-40B4-BE49-F238E27FC236}">
              <a16:creationId xmlns:a16="http://schemas.microsoft.com/office/drawing/2014/main" id="{2A9C1199-205B-2762-430D-BB500358E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458548</xdr:colOff>
      <xdr:row>19</xdr:row>
      <xdr:rowOff>141610</xdr:rowOff>
    </xdr:from>
    <xdr:to>
      <xdr:col>12</xdr:col>
      <xdr:colOff>155095</xdr:colOff>
      <xdr:row>33</xdr:row>
      <xdr:rowOff>154423</xdr:rowOff>
    </xdr:to>
    <xdr:graphicFrame macro="">
      <xdr:nvGraphicFramePr>
        <xdr:cNvPr id="4" name="Chart 3">
          <a:extLst>
            <a:ext uri="{FF2B5EF4-FFF2-40B4-BE49-F238E27FC236}">
              <a16:creationId xmlns:a16="http://schemas.microsoft.com/office/drawing/2014/main" id="{353F4C58-236F-E80F-11B7-2E2EE56C4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249505</xdr:colOff>
      <xdr:row>35</xdr:row>
      <xdr:rowOff>20904</xdr:rowOff>
    </xdr:from>
    <xdr:to>
      <xdr:col>11</xdr:col>
      <xdr:colOff>445062</xdr:colOff>
      <xdr:row>50</xdr:row>
      <xdr:rowOff>33042</xdr:rowOff>
    </xdr:to>
    <xdr:graphicFrame macro="">
      <xdr:nvGraphicFramePr>
        <xdr:cNvPr id="5" name="Chart 4">
          <a:extLst>
            <a:ext uri="{FF2B5EF4-FFF2-40B4-BE49-F238E27FC236}">
              <a16:creationId xmlns:a16="http://schemas.microsoft.com/office/drawing/2014/main" id="{F2B00520-2F0B-BF4F-6F07-39452509C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145539</xdr:colOff>
      <xdr:row>7</xdr:row>
      <xdr:rowOff>36559</xdr:rowOff>
    </xdr:from>
    <xdr:to>
      <xdr:col>9</xdr:col>
      <xdr:colOff>543549</xdr:colOff>
      <xdr:row>24</xdr:row>
      <xdr:rowOff>81651</xdr:rowOff>
    </xdr:to>
    <xdr:graphicFrame macro="">
      <xdr:nvGraphicFramePr>
        <xdr:cNvPr id="3" name="Chart 2">
          <a:extLst>
            <a:ext uri="{FF2B5EF4-FFF2-40B4-BE49-F238E27FC236}">
              <a16:creationId xmlns:a16="http://schemas.microsoft.com/office/drawing/2014/main" id="{66DA07EB-BD8D-4CBF-BF5B-A8AA8004D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567884</xdr:colOff>
      <xdr:row>7</xdr:row>
      <xdr:rowOff>44823</xdr:rowOff>
    </xdr:from>
    <xdr:to>
      <xdr:col>17</xdr:col>
      <xdr:colOff>140392</xdr:colOff>
      <xdr:row>24</xdr:row>
      <xdr:rowOff>67235</xdr:rowOff>
    </xdr:to>
    <xdr:graphicFrame macro="">
      <xdr:nvGraphicFramePr>
        <xdr:cNvPr id="4" name="Chart 3">
          <a:extLst>
            <a:ext uri="{FF2B5EF4-FFF2-40B4-BE49-F238E27FC236}">
              <a16:creationId xmlns:a16="http://schemas.microsoft.com/office/drawing/2014/main" id="{F6E665A0-209E-4809-9253-2393E2751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131638</xdr:colOff>
      <xdr:row>24</xdr:row>
      <xdr:rowOff>140433</xdr:rowOff>
    </xdr:from>
    <xdr:to>
      <xdr:col>17</xdr:col>
      <xdr:colOff>179295</xdr:colOff>
      <xdr:row>42</xdr:row>
      <xdr:rowOff>30397</xdr:rowOff>
    </xdr:to>
    <xdr:graphicFrame macro="">
      <xdr:nvGraphicFramePr>
        <xdr:cNvPr id="5" name="Chart 4">
          <a:extLst>
            <a:ext uri="{FF2B5EF4-FFF2-40B4-BE49-F238E27FC236}">
              <a16:creationId xmlns:a16="http://schemas.microsoft.com/office/drawing/2014/main" id="{AB260188-090B-450B-B220-234BF69AE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41687</xdr:colOff>
      <xdr:row>19</xdr:row>
      <xdr:rowOff>14344</xdr:rowOff>
    </xdr:from>
    <xdr:to>
      <xdr:col>3</xdr:col>
      <xdr:colOff>55134</xdr:colOff>
      <xdr:row>28</xdr:row>
      <xdr:rowOff>44824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A227B31E-5290-7366-C66F-018395F1041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1687" y="3633844"/>
              <a:ext cx="1842247"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158228</xdr:rowOff>
    </xdr:from>
    <xdr:to>
      <xdr:col>3</xdr:col>
      <xdr:colOff>13447</xdr:colOff>
      <xdr:row>18</xdr:row>
      <xdr:rowOff>168088</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C8A3CF5-9BF4-DAF0-5AD9-E3806345F8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444228"/>
              <a:ext cx="1842247" cy="1152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69028</xdr:rowOff>
    </xdr:from>
    <xdr:to>
      <xdr:col>2</xdr:col>
      <xdr:colOff>603624</xdr:colOff>
      <xdr:row>12</xdr:row>
      <xdr:rowOff>82177</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C06E9FCF-1A65-1184-7054-C39C509A98D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402528"/>
              <a:ext cx="1822824" cy="965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4.975711689818" createdVersion="8" refreshedVersion="8" minRefreshableVersion="3" recordCount="1000" xr:uid="{25D5E65A-8AE6-4D86-BFF4-343305FFF84C}">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 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79429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FE12AE-5F46-48A9-83FE-BDDF9909D092}" name="PivotTable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7:E42"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F5094E-6DAB-4277-97CB-C6F87F6AA6EE}" name="PivotTable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1:E28"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31FA2C-634D-4282-BF17-9211C36B55A9}" name="PivotTable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E9"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1">
    <format dxfId="6">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A7710B8-9205-401B-9103-2ACC7EF70885}" sourceName="Education">
  <pivotTables>
    <pivotTable tabId="3" name="PivotTable3"/>
    <pivotTable tabId="3" name="PivotTable1"/>
    <pivotTable tabId="3" name="PivotTable2"/>
  </pivotTables>
  <data>
    <tabular pivotCacheId="157942930">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E36D93-AE70-44FE-8F09-B1055D2A6041}" sourceName="Region">
  <pivotTables>
    <pivotTable tabId="3" name="PivotTable3"/>
    <pivotTable tabId="3" name="PivotTable1"/>
    <pivotTable tabId="3" name="PivotTable2"/>
  </pivotTables>
  <data>
    <tabular pivotCacheId="157942930">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D02C204-9CCA-4C52-96B7-DE421E52F260}" sourceName="Marital Status">
  <pivotTables>
    <pivotTable tabId="3" name="PivotTable1"/>
    <pivotTable tabId="3" name="PivotTable2"/>
    <pivotTable tabId="3" name="PivotTable3"/>
  </pivotTables>
  <data>
    <tabular pivotCacheId="157942930">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89C8F6EA-1721-4E85-8695-6D1CC5109097}" cache="Slicer_Education" caption="Education" rowHeight="234950"/>
  <slicer name="Region" xr10:uid="{D06EA730-47E4-48E6-B119-C139F006130B}" cache="Slicer_Region" caption="Region" rowHeight="234950"/>
  <slicer name="Marital Status" xr10:uid="{FB19960F-60FA-4BDA-B6EE-06680082EB07}" cache="Slicer_Marital_Status" caption="Marital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114" workbookViewId="0">
      <selection activeCell="B2" sqref="B2"/>
    </sheetView>
  </sheetViews>
  <sheetFormatPr defaultColWidth="11.88671875" defaultRowHeight="14.4" x14ac:dyDescent="0.3"/>
  <cols>
    <col min="4" max="4" width="13.109375" style="3"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 AGE",IF(L2&gt;31,"INVALID","ADOLSCENT")))</f>
        <v>MID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 AGE",IF(L3&gt;31,"INVALID","ADOLSCENT")))</f>
        <v>MID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 AGE</v>
      </c>
      <c r="N5" t="s">
        <v>15</v>
      </c>
    </row>
    <row r="6" spans="1:14" x14ac:dyDescent="0.3">
      <c r="A6">
        <v>25597</v>
      </c>
      <c r="B6" t="s">
        <v>37</v>
      </c>
      <c r="C6" t="s">
        <v>39</v>
      </c>
      <c r="D6" s="3">
        <v>30000</v>
      </c>
      <c r="E6">
        <v>0</v>
      </c>
      <c r="F6" t="s">
        <v>13</v>
      </c>
      <c r="G6" t="s">
        <v>20</v>
      </c>
      <c r="H6" t="s">
        <v>18</v>
      </c>
      <c r="I6">
        <v>0</v>
      </c>
      <c r="J6" t="s">
        <v>16</v>
      </c>
      <c r="K6" t="s">
        <v>17</v>
      </c>
      <c r="L6">
        <v>36</v>
      </c>
      <c r="M6" t="str">
        <f t="shared" si="0"/>
        <v>MID AGE</v>
      </c>
      <c r="N6" t="s">
        <v>15</v>
      </c>
    </row>
    <row r="7" spans="1:14" x14ac:dyDescent="0.3">
      <c r="A7">
        <v>13507</v>
      </c>
      <c r="B7" t="s">
        <v>36</v>
      </c>
      <c r="C7" t="s">
        <v>38</v>
      </c>
      <c r="D7" s="3">
        <v>10000</v>
      </c>
      <c r="E7">
        <v>2</v>
      </c>
      <c r="F7" t="s">
        <v>19</v>
      </c>
      <c r="G7" t="s">
        <v>25</v>
      </c>
      <c r="H7" t="s">
        <v>15</v>
      </c>
      <c r="I7">
        <v>0</v>
      </c>
      <c r="J7" t="s">
        <v>26</v>
      </c>
      <c r="K7" t="s">
        <v>17</v>
      </c>
      <c r="L7">
        <v>50</v>
      </c>
      <c r="M7" t="str">
        <f t="shared" si="0"/>
        <v>MID AGE</v>
      </c>
      <c r="N7" t="s">
        <v>18</v>
      </c>
    </row>
    <row r="8" spans="1:14" x14ac:dyDescent="0.3">
      <c r="A8">
        <v>27974</v>
      </c>
      <c r="B8" t="s">
        <v>37</v>
      </c>
      <c r="C8" t="s">
        <v>39</v>
      </c>
      <c r="D8" s="3">
        <v>160000</v>
      </c>
      <c r="E8">
        <v>2</v>
      </c>
      <c r="F8" t="s">
        <v>27</v>
      </c>
      <c r="G8" t="s">
        <v>28</v>
      </c>
      <c r="H8" t="s">
        <v>15</v>
      </c>
      <c r="I8">
        <v>4</v>
      </c>
      <c r="J8" t="s">
        <v>16</v>
      </c>
      <c r="K8" t="s">
        <v>24</v>
      </c>
      <c r="L8">
        <v>33</v>
      </c>
      <c r="M8" t="str">
        <f t="shared" si="0"/>
        <v>MID AGE</v>
      </c>
      <c r="N8" t="s">
        <v>15</v>
      </c>
    </row>
    <row r="9" spans="1:14" x14ac:dyDescent="0.3">
      <c r="A9">
        <v>19364</v>
      </c>
      <c r="B9" t="s">
        <v>36</v>
      </c>
      <c r="C9" t="s">
        <v>39</v>
      </c>
      <c r="D9" s="3">
        <v>40000</v>
      </c>
      <c r="E9">
        <v>1</v>
      </c>
      <c r="F9" t="s">
        <v>13</v>
      </c>
      <c r="G9" t="s">
        <v>14</v>
      </c>
      <c r="H9" t="s">
        <v>15</v>
      </c>
      <c r="I9">
        <v>0</v>
      </c>
      <c r="J9" t="s">
        <v>16</v>
      </c>
      <c r="K9" t="s">
        <v>17</v>
      </c>
      <c r="L9">
        <v>43</v>
      </c>
      <c r="M9" t="str">
        <f t="shared" si="0"/>
        <v>MID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 AGE",IF(L67&gt;31,"INVALID","ADOLSCENT")))</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 AGE",IF(L131&gt;31,"INVALID","ADOLSCENT")))</f>
        <v>MID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 AGE",IF(L195&gt;31,"INVALID","ADOLSCENT")))</f>
        <v>MID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 AGE",IF(L259&gt;31,"INVALID","ADOLSCENT")))</f>
        <v>MID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 AGE",IF(L323&gt;31,"INVALID","ADOLSCENT")))</f>
        <v>MID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 AGE",IF(L387&gt;31,"INVALID","ADOLSCENT")))</f>
        <v>MID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 AGE",IF(L451&gt;31,"INVALID","ADOLSCENT")))</f>
        <v>MID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 AGE",IF(L515&gt;31,"INVALID","ADOLSCENT")))</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 AGE",IF(L579&gt;31,"INVALID","ADOLSCENT")))</f>
        <v>MID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 AGE",IF(L643&gt;31,"INVALID","ADOLSCENT")))</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 AGE",IF(L707&gt;31,"INVALID","ADOLSCENT")))</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 AGE",IF(L771&gt;31,"INVALID","ADOLSCENT")))</f>
        <v>MID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 AGE",IF(L835&gt;31,"INVALID","ADOLSCENT")))</f>
        <v>MID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 AGE",IF(L899&gt;31,"INVALID","ADOLSCENT")))</f>
        <v>ADOLSCENT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 AGE",IF(L963&gt;31,"INVALID","ADOLSCENT")))</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EE29D-2EDE-4C09-B5B9-5BB369CF1B59}">
  <dimension ref="A1:M1027"/>
  <sheetViews>
    <sheetView topLeftCell="A1001" workbookViewId="0">
      <selection activeCell="C6" sqref="C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CADB5-6A0E-4AE3-B126-374A173D5171}">
  <dimension ref="B5:E42"/>
  <sheetViews>
    <sheetView topLeftCell="A24" zoomScale="113" workbookViewId="0">
      <selection activeCell="B39" sqref="B39"/>
    </sheetView>
  </sheetViews>
  <sheetFormatPr defaultRowHeight="14.4" x14ac:dyDescent="0.3"/>
  <cols>
    <col min="2" max="2" width="21.88671875" bestFit="1" customWidth="1"/>
    <col min="3" max="3" width="15.5546875" bestFit="1" customWidth="1"/>
    <col min="4" max="4" width="4.109375" bestFit="1" customWidth="1"/>
    <col min="5" max="5" width="10.77734375" bestFit="1" customWidth="1"/>
    <col min="6" max="6" width="4.109375" bestFit="1" customWidth="1"/>
    <col min="7" max="7" width="10.77734375" bestFit="1" customWidth="1"/>
    <col min="8" max="9" width="11.21875" bestFit="1" customWidth="1"/>
    <col min="10" max="10" width="15.21875" bestFit="1" customWidth="1"/>
    <col min="11" max="11" width="11.21875" bestFit="1" customWidth="1"/>
    <col min="12" max="12" width="12.88671875" bestFit="1" customWidth="1"/>
    <col min="13" max="14" width="11.21875" bestFit="1" customWidth="1"/>
    <col min="15" max="15" width="15.21875" bestFit="1" customWidth="1"/>
    <col min="16" max="16" width="11.21875" bestFit="1" customWidth="1"/>
    <col min="17" max="17" width="12.88671875" bestFit="1" customWidth="1"/>
    <col min="18" max="18" width="16.77734375" bestFit="1" customWidth="1"/>
    <col min="19" max="20" width="11.21875" bestFit="1" customWidth="1"/>
    <col min="21" max="21" width="15.21875" bestFit="1" customWidth="1"/>
    <col min="22" max="22" width="11.21875" bestFit="1" customWidth="1"/>
    <col min="23" max="23" width="12.88671875" bestFit="1" customWidth="1"/>
    <col min="24" max="24" width="16.77734375" bestFit="1" customWidth="1"/>
    <col min="25" max="26" width="11.21875" bestFit="1" customWidth="1"/>
    <col min="27" max="27" width="15.21875" bestFit="1" customWidth="1"/>
    <col min="28" max="28" width="11.21875" bestFit="1" customWidth="1"/>
    <col min="29" max="29" width="12.88671875" bestFit="1" customWidth="1"/>
    <col min="30" max="30" width="16.77734375" bestFit="1" customWidth="1"/>
    <col min="31" max="32" width="11.21875" bestFit="1" customWidth="1"/>
    <col min="33" max="33" width="15.21875" bestFit="1" customWidth="1"/>
    <col min="34" max="34" width="11.21875" bestFit="1" customWidth="1"/>
    <col min="35" max="35" width="12.88671875" bestFit="1" customWidth="1"/>
    <col min="36" max="36" width="16.77734375" bestFit="1" customWidth="1"/>
    <col min="37" max="38" width="11.21875" bestFit="1" customWidth="1"/>
  </cols>
  <sheetData>
    <row r="5" spans="2:5" x14ac:dyDescent="0.3">
      <c r="B5" s="4" t="s">
        <v>43</v>
      </c>
      <c r="C5" s="4" t="s">
        <v>44</v>
      </c>
    </row>
    <row r="6" spans="2:5" x14ac:dyDescent="0.3">
      <c r="B6" s="4" t="s">
        <v>41</v>
      </c>
      <c r="C6" t="s">
        <v>18</v>
      </c>
      <c r="D6" t="s">
        <v>15</v>
      </c>
      <c r="E6" t="s">
        <v>42</v>
      </c>
    </row>
    <row r="7" spans="2:5" x14ac:dyDescent="0.3">
      <c r="B7" s="5" t="s">
        <v>38</v>
      </c>
      <c r="C7" s="6">
        <v>58571.428571428572</v>
      </c>
      <c r="D7" s="6">
        <v>64406.779661016946</v>
      </c>
      <c r="E7" s="6">
        <v>61565.217391304344</v>
      </c>
    </row>
    <row r="8" spans="2:5" x14ac:dyDescent="0.3">
      <c r="B8" s="5" t="s">
        <v>39</v>
      </c>
      <c r="C8" s="6">
        <v>61190.476190476191</v>
      </c>
      <c r="D8" s="6">
        <v>68333.333333333328</v>
      </c>
      <c r="E8" s="6">
        <v>65208.333333333336</v>
      </c>
    </row>
    <row r="9" spans="2:5" x14ac:dyDescent="0.3">
      <c r="B9" s="5" t="s">
        <v>42</v>
      </c>
      <c r="C9" s="3">
        <v>59693.877551020407</v>
      </c>
      <c r="D9" s="3">
        <v>66283.185840707971</v>
      </c>
      <c r="E9" s="3">
        <v>63222.748815165876</v>
      </c>
    </row>
    <row r="21" spans="2:5" x14ac:dyDescent="0.3">
      <c r="B21" s="4" t="s">
        <v>45</v>
      </c>
      <c r="C21" s="4" t="s">
        <v>44</v>
      </c>
    </row>
    <row r="22" spans="2:5" x14ac:dyDescent="0.3">
      <c r="B22" s="4" t="s">
        <v>41</v>
      </c>
      <c r="C22" t="s">
        <v>18</v>
      </c>
      <c r="D22" t="s">
        <v>15</v>
      </c>
      <c r="E22" t="s">
        <v>42</v>
      </c>
    </row>
    <row r="23" spans="2:5" x14ac:dyDescent="0.3">
      <c r="B23" s="5" t="s">
        <v>16</v>
      </c>
      <c r="C23" s="7">
        <v>22</v>
      </c>
      <c r="D23" s="7">
        <v>27</v>
      </c>
      <c r="E23" s="7">
        <v>49</v>
      </c>
    </row>
    <row r="24" spans="2:5" x14ac:dyDescent="0.3">
      <c r="B24" s="5" t="s">
        <v>26</v>
      </c>
      <c r="C24" s="7">
        <v>24</v>
      </c>
      <c r="D24" s="7">
        <v>23</v>
      </c>
      <c r="E24" s="7">
        <v>47</v>
      </c>
    </row>
    <row r="25" spans="2:5" x14ac:dyDescent="0.3">
      <c r="B25" s="5" t="s">
        <v>22</v>
      </c>
      <c r="C25" s="7">
        <v>8</v>
      </c>
      <c r="D25" s="7">
        <v>36</v>
      </c>
      <c r="E25" s="7">
        <v>44</v>
      </c>
    </row>
    <row r="26" spans="2:5" x14ac:dyDescent="0.3">
      <c r="B26" s="5" t="s">
        <v>23</v>
      </c>
      <c r="C26" s="7">
        <v>34</v>
      </c>
      <c r="D26" s="7">
        <v>15</v>
      </c>
      <c r="E26" s="7">
        <v>49</v>
      </c>
    </row>
    <row r="27" spans="2:5" x14ac:dyDescent="0.3">
      <c r="B27" s="5" t="s">
        <v>46</v>
      </c>
      <c r="C27" s="7">
        <v>10</v>
      </c>
      <c r="D27" s="7">
        <v>12</v>
      </c>
      <c r="E27" s="7">
        <v>22</v>
      </c>
    </row>
    <row r="28" spans="2:5" x14ac:dyDescent="0.3">
      <c r="B28" s="5" t="s">
        <v>42</v>
      </c>
      <c r="C28" s="7">
        <v>98</v>
      </c>
      <c r="D28" s="7">
        <v>113</v>
      </c>
      <c r="E28" s="7">
        <v>211</v>
      </c>
    </row>
    <row r="37" spans="2:5" x14ac:dyDescent="0.3">
      <c r="B37" s="4" t="s">
        <v>45</v>
      </c>
      <c r="C37" s="4" t="s">
        <v>44</v>
      </c>
    </row>
    <row r="38" spans="2:5" x14ac:dyDescent="0.3">
      <c r="B38" s="4" t="s">
        <v>41</v>
      </c>
      <c r="C38" t="s">
        <v>18</v>
      </c>
      <c r="D38" t="s">
        <v>15</v>
      </c>
      <c r="E38" t="s">
        <v>42</v>
      </c>
    </row>
    <row r="39" spans="2:5" x14ac:dyDescent="0.3">
      <c r="B39" s="5" t="s">
        <v>47</v>
      </c>
      <c r="C39" s="7">
        <v>26</v>
      </c>
      <c r="D39" s="7">
        <v>7</v>
      </c>
      <c r="E39" s="7">
        <v>33</v>
      </c>
    </row>
    <row r="40" spans="2:5" x14ac:dyDescent="0.3">
      <c r="B40" s="5" t="s">
        <v>48</v>
      </c>
      <c r="C40" s="7">
        <v>56</v>
      </c>
      <c r="D40" s="7">
        <v>89</v>
      </c>
      <c r="E40" s="7">
        <v>145</v>
      </c>
    </row>
    <row r="41" spans="2:5" x14ac:dyDescent="0.3">
      <c r="B41" s="5" t="s">
        <v>49</v>
      </c>
      <c r="C41" s="7">
        <v>16</v>
      </c>
      <c r="D41" s="7">
        <v>17</v>
      </c>
      <c r="E41" s="7">
        <v>33</v>
      </c>
    </row>
    <row r="42" spans="2:5" x14ac:dyDescent="0.3">
      <c r="B42" s="5" t="s">
        <v>42</v>
      </c>
      <c r="C42" s="7">
        <v>98</v>
      </c>
      <c r="D42" s="7">
        <v>113</v>
      </c>
      <c r="E42" s="7">
        <v>211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105FB-942E-4C45-961D-7BB113BF31B9}">
  <dimension ref="A1:Q7"/>
  <sheetViews>
    <sheetView showGridLines="0" tabSelected="1" zoomScale="40" zoomScaleNormal="55" workbookViewId="0">
      <selection activeCell="B8" sqref="B8"/>
    </sheetView>
  </sheetViews>
  <sheetFormatPr defaultRowHeight="14.4" x14ac:dyDescent="0.3"/>
  <sheetData>
    <row r="1" spans="1:17" x14ac:dyDescent="0.3">
      <c r="A1" s="9" t="s">
        <v>50</v>
      </c>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row r="5" spans="1:17" x14ac:dyDescent="0.3">
      <c r="A5" s="8"/>
      <c r="B5" s="8"/>
      <c r="C5" s="8"/>
      <c r="D5" s="8"/>
      <c r="E5" s="8"/>
      <c r="F5" s="8"/>
      <c r="G5" s="8"/>
      <c r="H5" s="8"/>
      <c r="I5" s="8"/>
      <c r="J5" s="8"/>
      <c r="K5" s="8"/>
      <c r="L5" s="8"/>
      <c r="M5" s="8"/>
      <c r="N5" s="8"/>
      <c r="O5" s="8"/>
      <c r="P5" s="8"/>
      <c r="Q5" s="8"/>
    </row>
    <row r="6" spans="1:17" x14ac:dyDescent="0.3">
      <c r="A6" s="8"/>
      <c r="B6" s="8"/>
      <c r="C6" s="8"/>
      <c r="D6" s="8"/>
      <c r="E6" s="8"/>
      <c r="F6" s="8"/>
      <c r="G6" s="8"/>
      <c r="H6" s="8"/>
      <c r="I6" s="8"/>
      <c r="J6" s="8"/>
      <c r="K6" s="8"/>
      <c r="L6" s="8"/>
      <c r="M6" s="8"/>
      <c r="N6" s="8"/>
      <c r="O6" s="8"/>
      <c r="P6" s="8"/>
      <c r="Q6" s="8"/>
    </row>
    <row r="7" spans="1:17" x14ac:dyDescent="0.3">
      <c r="A7" s="8"/>
      <c r="B7" s="8"/>
      <c r="C7" s="8"/>
      <c r="D7" s="8"/>
      <c r="E7" s="8"/>
      <c r="F7" s="8"/>
      <c r="G7" s="8"/>
      <c r="H7" s="8"/>
      <c r="I7" s="8"/>
      <c r="J7" s="8"/>
      <c r="K7" s="8"/>
      <c r="L7" s="8"/>
      <c r="M7" s="8"/>
      <c r="N7" s="8"/>
      <c r="O7" s="8"/>
      <c r="P7" s="8"/>
      <c r="Q7" s="8"/>
    </row>
  </sheetData>
  <mergeCells count="1">
    <mergeCell ref="A1:Q7"/>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 </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hp5cd425jhsj@outlook.com</cp:lastModifiedBy>
  <dcterms:created xsi:type="dcterms:W3CDTF">2022-03-18T02:50:57Z</dcterms:created>
  <dcterms:modified xsi:type="dcterms:W3CDTF">2026-06-01T17:57:20Z</dcterms:modified>
</cp:coreProperties>
</file>